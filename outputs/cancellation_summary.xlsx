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Country" sheetId="4" state="visible" r:id="rId4"/>
    <sheet xmlns:r="http://schemas.openxmlformats.org/officeDocument/2006/relationships" name="Top SKUs" sheetId="5" state="visible" r:id="rId5"/>
    <sheet xmlns:r="http://schemas.openxmlformats.org/officeDocument/2006/relationships" name="Customer bands" sheetId="6" state="visible" r:id="rId6"/>
    <sheet xmlns:r="http://schemas.openxmlformats.org/officeDocument/2006/relationships"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Retail cancellation leakage - summary tables</t>
        </is>
      </c>
    </row>
    <row r="2">
      <c r="A2" t="inlineStr">
        <is>
          <t>Source: UCI Online Retail II (CC BY 4.0). Built by src/build_outputs.py from outputs/csv/*.csv.</t>
        </is>
      </c>
    </row>
    <row r="3">
      <c r="A3" t="inlineStr">
        <is>
          <t>Values are GBP. 'other' cancellations exclude same-day reversals (same customer, SKU and quantity within 24h of the sale).</t>
        </is>
      </c>
    </row>
    <row r="4">
      <c r="A4" t="inlineStr">
        <is>
          <t>Columns headed '(formula)' are live Excel formulas that recompute a rate from the neighbouring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gross_sales_gbp</t>
        </is>
      </c>
      <c r="B2" t="n">
        <v>19699785</v>
      </c>
    </row>
    <row r="3">
      <c r="A3" t="inlineStr">
        <is>
          <t>cancelled_gbp</t>
        </is>
      </c>
      <c r="B3" t="n">
        <v>719656</v>
      </c>
    </row>
    <row r="4">
      <c r="A4" t="inlineStr">
        <is>
          <t>headline_rate_pct</t>
        </is>
      </c>
      <c r="B4" t="n">
        <v>3.65</v>
      </c>
    </row>
    <row r="5">
      <c r="A5" t="inlineStr">
        <is>
          <t>reversal_24h_gbp</t>
        </is>
      </c>
      <c r="B5" t="n">
        <v>356000</v>
      </c>
    </row>
    <row r="6">
      <c r="A6" t="inlineStr">
        <is>
          <t>other_cancelled_gbp</t>
        </is>
      </c>
      <c r="B6" t="n">
        <v>357010</v>
      </c>
    </row>
    <row r="7">
      <c r="A7" t="inlineStr">
        <is>
          <t>unmatched_gbp</t>
        </is>
      </c>
      <c r="B7" t="n">
        <v>6647</v>
      </c>
    </row>
    <row r="8">
      <c r="A8" t="inlineStr">
        <is>
          <t>reversal_share_of_cancelled_pct</t>
        </is>
      </c>
      <c r="B8" t="n">
        <v>49.5</v>
      </c>
    </row>
    <row r="9">
      <c r="A9" t="inlineStr">
        <is>
          <t>adjusted_rate_pct</t>
        </is>
      </c>
      <c r="B9" t="n">
        <v>1.88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19" customWidth="1" min="5" max="5"/>
    <col width="19" customWidth="1" min="6" max="6"/>
    <col width="30" customWidth="1" min="7" max="7"/>
  </cols>
  <sheetData>
    <row r="1">
      <c r="A1" s="2" t="inlineStr">
        <is>
          <t>invoice_month</t>
        </is>
      </c>
      <c r="B1" s="2" t="inlineStr">
        <is>
          <t>gross_gbp</t>
        </is>
      </c>
      <c r="C1" s="2" t="inlineStr">
        <is>
          <t>reversal_gbp</t>
        </is>
      </c>
      <c r="D1" s="2" t="inlineStr">
        <is>
          <t>other_gbp</t>
        </is>
      </c>
      <c r="E1" s="2" t="inlineStr">
        <is>
          <t>headline_rate_pct</t>
        </is>
      </c>
      <c r="F1" s="2" t="inlineStr">
        <is>
          <t>adjusted_rate_pct</t>
        </is>
      </c>
      <c r="G1" s="3" t="inlineStr">
        <is>
          <t>other_pct_of_gross (formula)</t>
        </is>
      </c>
    </row>
    <row r="2">
      <c r="A2" t="inlineStr">
        <is>
          <t>2009-12</t>
        </is>
      </c>
      <c r="B2" t="n">
        <v>800940</v>
      </c>
      <c r="C2" t="n">
        <v>2860</v>
      </c>
      <c r="D2" t="n">
        <v>16702</v>
      </c>
      <c r="E2" t="n">
        <v>2.44</v>
      </c>
      <c r="F2" t="n">
        <v>2.09</v>
      </c>
      <c r="G2">
        <f>ROUND(100*D2/B2,2)</f>
        <v/>
      </c>
    </row>
    <row r="3">
      <c r="A3" t="inlineStr">
        <is>
          <t>2010-01</t>
        </is>
      </c>
      <c r="B3" t="n">
        <v>613825</v>
      </c>
      <c r="C3" t="n">
        <v>330</v>
      </c>
      <c r="D3" t="n">
        <v>7136</v>
      </c>
      <c r="E3" t="n">
        <v>1.22</v>
      </c>
      <c r="F3" t="n">
        <v>1.16</v>
      </c>
      <c r="G3">
        <f>ROUND(100*D3/B3,2)</f>
        <v/>
      </c>
    </row>
    <row r="4">
      <c r="A4" t="inlineStr">
        <is>
          <t>2010-02</t>
        </is>
      </c>
      <c r="B4" t="n">
        <v>539729</v>
      </c>
      <c r="C4" t="n">
        <v>899</v>
      </c>
      <c r="D4" t="n">
        <v>11686</v>
      </c>
      <c r="E4" t="n">
        <v>2.33</v>
      </c>
      <c r="F4" t="n">
        <v>2.17</v>
      </c>
      <c r="G4">
        <f>ROUND(100*D4/B4,2)</f>
        <v/>
      </c>
    </row>
    <row r="5">
      <c r="A5" t="inlineStr">
        <is>
          <t>2010-03</t>
        </is>
      </c>
      <c r="B5" t="n">
        <v>764293</v>
      </c>
      <c r="C5" t="n">
        <v>1285</v>
      </c>
      <c r="D5" t="n">
        <v>8372</v>
      </c>
      <c r="E5" t="n">
        <v>1.26</v>
      </c>
      <c r="F5" t="n">
        <v>1.1</v>
      </c>
      <c r="G5">
        <f>ROUND(100*D5/B5,2)</f>
        <v/>
      </c>
    </row>
    <row r="6">
      <c r="A6" t="inlineStr">
        <is>
          <t>2010-04</t>
        </is>
      </c>
      <c r="B6" t="n">
        <v>648886</v>
      </c>
      <c r="C6" t="n">
        <v>1937</v>
      </c>
      <c r="D6" t="n">
        <v>8088</v>
      </c>
      <c r="E6" t="n">
        <v>1.54</v>
      </c>
      <c r="F6" t="n">
        <v>1.25</v>
      </c>
      <c r="G6">
        <f>ROUND(100*D6/B6,2)</f>
        <v/>
      </c>
    </row>
    <row r="7">
      <c r="A7" t="inlineStr">
        <is>
          <t>2010-05</t>
        </is>
      </c>
      <c r="B7" t="n">
        <v>645628</v>
      </c>
      <c r="C7" t="n">
        <v>14529</v>
      </c>
      <c r="D7" t="n">
        <v>22766</v>
      </c>
      <c r="E7" t="n">
        <v>5.78</v>
      </c>
      <c r="F7" t="n">
        <v>3.61</v>
      </c>
      <c r="G7">
        <f>ROUND(100*D7/B7,2)</f>
        <v/>
      </c>
    </row>
    <row r="8">
      <c r="A8" t="inlineStr">
        <is>
          <t>2010-06</t>
        </is>
      </c>
      <c r="B8" t="n">
        <v>699172</v>
      </c>
      <c r="C8" t="n">
        <v>13648</v>
      </c>
      <c r="D8" t="n">
        <v>12696</v>
      </c>
      <c r="E8" t="n">
        <v>3.77</v>
      </c>
      <c r="F8" t="n">
        <v>1.85</v>
      </c>
      <c r="G8">
        <f>ROUND(100*D8/B8,2)</f>
        <v/>
      </c>
    </row>
    <row r="9">
      <c r="A9" t="inlineStr">
        <is>
          <t>2010-07</t>
        </is>
      </c>
      <c r="B9" t="n">
        <v>634886</v>
      </c>
      <c r="C9" t="n">
        <v>5873</v>
      </c>
      <c r="D9" t="n">
        <v>11260</v>
      </c>
      <c r="E9" t="n">
        <v>2.7</v>
      </c>
      <c r="F9" t="n">
        <v>1.79</v>
      </c>
      <c r="G9">
        <f>ROUND(100*D9/B9,2)</f>
        <v/>
      </c>
    </row>
    <row r="10">
      <c r="A10" t="inlineStr">
        <is>
          <t>2010-08</t>
        </is>
      </c>
      <c r="B10" t="n">
        <v>676060</v>
      </c>
      <c r="C10" t="n">
        <v>2619</v>
      </c>
      <c r="D10" t="n">
        <v>9799</v>
      </c>
      <c r="E10" t="n">
        <v>1.84</v>
      </c>
      <c r="F10" t="n">
        <v>1.46</v>
      </c>
      <c r="G10">
        <f>ROUND(100*D10/B10,2)</f>
        <v/>
      </c>
    </row>
    <row r="11">
      <c r="A11" t="inlineStr">
        <is>
          <t>2010-09</t>
        </is>
      </c>
      <c r="B11" t="n">
        <v>871860</v>
      </c>
      <c r="C11" t="n">
        <v>5991</v>
      </c>
      <c r="D11" t="n">
        <v>21787</v>
      </c>
      <c r="E11" t="n">
        <v>3.19</v>
      </c>
      <c r="F11" t="n">
        <v>2.52</v>
      </c>
      <c r="G11">
        <f>ROUND(100*D11/B11,2)</f>
        <v/>
      </c>
    </row>
    <row r="12">
      <c r="A12" t="inlineStr">
        <is>
          <t>2010-10</t>
        </is>
      </c>
      <c r="B12" t="n">
        <v>1097939</v>
      </c>
      <c r="C12" t="n">
        <v>7987</v>
      </c>
      <c r="D12" t="n">
        <v>17563</v>
      </c>
      <c r="E12" t="n">
        <v>2.33</v>
      </c>
      <c r="F12" t="n">
        <v>1.61</v>
      </c>
      <c r="G12">
        <f>ROUND(100*D12/B12,2)</f>
        <v/>
      </c>
    </row>
    <row r="13">
      <c r="A13" t="inlineStr">
        <is>
          <t>2010-11</t>
        </is>
      </c>
      <c r="B13" t="n">
        <v>1435533</v>
      </c>
      <c r="C13" t="n">
        <v>5169</v>
      </c>
      <c r="D13" t="n">
        <v>29952</v>
      </c>
      <c r="E13" t="n">
        <v>2.45</v>
      </c>
      <c r="F13" t="n">
        <v>2.09</v>
      </c>
      <c r="G13">
        <f>ROUND(100*D13/B13,2)</f>
        <v/>
      </c>
    </row>
    <row r="14">
      <c r="A14" t="inlineStr">
        <is>
          <t>2010-12</t>
        </is>
      </c>
      <c r="B14" t="n">
        <v>777866</v>
      </c>
      <c r="C14" t="n">
        <v>3744</v>
      </c>
      <c r="D14" t="n">
        <v>13864</v>
      </c>
      <c r="E14" t="n">
        <v>2.26</v>
      </c>
      <c r="F14" t="n">
        <v>1.79</v>
      </c>
      <c r="G14">
        <f>ROUND(100*D14/B14,2)</f>
        <v/>
      </c>
    </row>
    <row r="15">
      <c r="A15" t="inlineStr">
        <is>
          <t>2011-01</t>
        </is>
      </c>
      <c r="B15" t="n">
        <v>671915</v>
      </c>
      <c r="C15" t="n">
        <v>79496</v>
      </c>
      <c r="D15" t="n">
        <v>12030</v>
      </c>
      <c r="E15" t="n">
        <v>13.62</v>
      </c>
      <c r="F15" t="n">
        <v>2.03</v>
      </c>
      <c r="G15">
        <f>ROUND(100*D15/B15,2)</f>
        <v/>
      </c>
    </row>
    <row r="16">
      <c r="A16" t="inlineStr">
        <is>
          <t>2011-02</t>
        </is>
      </c>
      <c r="B16" t="n">
        <v>508870</v>
      </c>
      <c r="C16" t="n">
        <v>168</v>
      </c>
      <c r="D16" t="n">
        <v>8208</v>
      </c>
      <c r="E16" t="n">
        <v>1.65</v>
      </c>
      <c r="F16" t="n">
        <v>1.61</v>
      </c>
      <c r="G16">
        <f>ROUND(100*D16/B16,2)</f>
        <v/>
      </c>
    </row>
    <row r="17">
      <c r="A17" t="inlineStr">
        <is>
          <t>2011-03</t>
        </is>
      </c>
      <c r="B17" t="n">
        <v>691133</v>
      </c>
      <c r="C17" t="n">
        <v>2750</v>
      </c>
      <c r="D17" t="n">
        <v>7925</v>
      </c>
      <c r="E17" t="n">
        <v>1.54</v>
      </c>
      <c r="F17" t="n">
        <v>1.15</v>
      </c>
      <c r="G17">
        <f>ROUND(100*D17/B17,2)</f>
        <v/>
      </c>
    </row>
    <row r="18">
      <c r="A18" t="inlineStr">
        <is>
          <t>2011-04</t>
        </is>
      </c>
      <c r="B18" t="n">
        <v>516195</v>
      </c>
      <c r="C18" t="n">
        <v>1703</v>
      </c>
      <c r="D18" t="n">
        <v>31614</v>
      </c>
      <c r="E18" t="n">
        <v>6.45</v>
      </c>
      <c r="F18" t="n">
        <v>6.14</v>
      </c>
      <c r="G18">
        <f>ROUND(100*D18/B18,2)</f>
        <v/>
      </c>
    </row>
    <row r="19">
      <c r="A19" t="inlineStr">
        <is>
          <t>2011-05</t>
        </is>
      </c>
      <c r="B19" t="n">
        <v>741154</v>
      </c>
      <c r="C19" t="n">
        <v>187</v>
      </c>
      <c r="D19" t="n">
        <v>8762</v>
      </c>
      <c r="E19" t="n">
        <v>1.21</v>
      </c>
      <c r="F19" t="n">
        <v>1.18</v>
      </c>
      <c r="G19">
        <f>ROUND(100*D19/B19,2)</f>
        <v/>
      </c>
    </row>
    <row r="20">
      <c r="A20" t="inlineStr">
        <is>
          <t>2011-06</t>
        </is>
      </c>
      <c r="B20" t="n">
        <v>738752</v>
      </c>
      <c r="C20" t="n">
        <v>2095</v>
      </c>
      <c r="D20" t="n">
        <v>11665</v>
      </c>
      <c r="E20" t="n">
        <v>1.86</v>
      </c>
      <c r="F20" t="n">
        <v>1.58</v>
      </c>
      <c r="G20">
        <f>ROUND(100*D20/B20,2)</f>
        <v/>
      </c>
    </row>
    <row r="21">
      <c r="A21" t="inlineStr">
        <is>
          <t>2011-07</t>
        </is>
      </c>
      <c r="B21" t="n">
        <v>689290</v>
      </c>
      <c r="C21" t="n">
        <v>1464</v>
      </c>
      <c r="D21" t="n">
        <v>9945</v>
      </c>
      <c r="E21" t="n">
        <v>1.66</v>
      </c>
      <c r="F21" t="n">
        <v>1.45</v>
      </c>
      <c r="G21">
        <f>ROUND(100*D21/B21,2)</f>
        <v/>
      </c>
    </row>
    <row r="22">
      <c r="A22" t="inlineStr">
        <is>
          <t>2011-08</t>
        </is>
      </c>
      <c r="B22" t="n">
        <v>725494</v>
      </c>
      <c r="C22" t="n">
        <v>4547</v>
      </c>
      <c r="D22" t="n">
        <v>18382</v>
      </c>
      <c r="E22" t="n">
        <v>3.16</v>
      </c>
      <c r="F22" t="n">
        <v>2.55</v>
      </c>
      <c r="G22">
        <f>ROUND(100*D22/B22,2)</f>
        <v/>
      </c>
    </row>
    <row r="23">
      <c r="A23" t="inlineStr">
        <is>
          <t>2011-09</t>
        </is>
      </c>
      <c r="B23" t="n">
        <v>1030469</v>
      </c>
      <c r="C23" t="n">
        <v>4542</v>
      </c>
      <c r="D23" t="n">
        <v>12502</v>
      </c>
      <c r="E23" t="n">
        <v>1.65</v>
      </c>
      <c r="F23" t="n">
        <v>1.22</v>
      </c>
      <c r="G23">
        <f>ROUND(100*D23/B23,2)</f>
        <v/>
      </c>
    </row>
    <row r="24">
      <c r="A24" t="inlineStr">
        <is>
          <t>2011-10</t>
        </is>
      </c>
      <c r="B24" t="n">
        <v>1106667</v>
      </c>
      <c r="C24" t="n">
        <v>13357</v>
      </c>
      <c r="D24" t="n">
        <v>30635</v>
      </c>
      <c r="E24" t="n">
        <v>3.98</v>
      </c>
      <c r="F24" t="n">
        <v>2.8</v>
      </c>
      <c r="G24">
        <f>ROUND(100*D24/B24,2)</f>
        <v/>
      </c>
    </row>
    <row r="25">
      <c r="A25" t="inlineStr">
        <is>
          <t>2011-11</t>
        </is>
      </c>
      <c r="B25" t="n">
        <v>1457742</v>
      </c>
      <c r="C25" t="n">
        <v>9812</v>
      </c>
      <c r="D25" t="n">
        <v>15198</v>
      </c>
      <c r="E25" t="n">
        <v>1.72</v>
      </c>
      <c r="F25" t="n">
        <v>1.05</v>
      </c>
      <c r="G25">
        <f>ROUND(100*D25/B25,2)</f>
        <v/>
      </c>
    </row>
    <row r="26">
      <c r="A26" t="inlineStr">
        <is>
          <t>2011-12</t>
        </is>
      </c>
      <c r="B26" t="n">
        <v>615490</v>
      </c>
      <c r="C26" t="n">
        <v>169008</v>
      </c>
      <c r="D26" t="n">
        <v>5119</v>
      </c>
      <c r="E26" t="n">
        <v>28.29</v>
      </c>
      <c r="F26" t="n">
        <v>1.15</v>
      </c>
      <c r="G26">
        <f>ROUND(100*D26/B26,2)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1" customWidth="1" min="4" max="4"/>
    <col width="19" customWidth="1" min="5" max="5"/>
  </cols>
  <sheetData>
    <row r="1">
      <c r="A1" s="2" t="inlineStr">
        <is>
          <t>country</t>
        </is>
      </c>
      <c r="B1" s="2" t="inlineStr">
        <is>
          <t>customers</t>
        </is>
      </c>
      <c r="C1" s="2" t="inlineStr">
        <is>
          <t>gross_gbp</t>
        </is>
      </c>
      <c r="D1" s="2" t="inlineStr">
        <is>
          <t>other_cancelled_gbp</t>
        </is>
      </c>
      <c r="E1" s="2" t="inlineStr">
        <is>
          <t>adjusted_rate_pct</t>
        </is>
      </c>
    </row>
    <row r="2">
      <c r="A2" t="inlineStr">
        <is>
          <t>United Kingdom</t>
        </is>
      </c>
      <c r="B2" t="n">
        <v>5334</v>
      </c>
      <c r="C2" t="n">
        <v>16855161</v>
      </c>
      <c r="D2" t="n">
        <v>292585</v>
      </c>
      <c r="E2" t="n">
        <v>1.77</v>
      </c>
    </row>
    <row r="3">
      <c r="A3" t="inlineStr">
        <is>
          <t>France</t>
        </is>
      </c>
      <c r="B3" t="n">
        <v>93</v>
      </c>
      <c r="C3" t="n">
        <v>311288</v>
      </c>
      <c r="D3" t="n">
        <v>16425</v>
      </c>
      <c r="E3" t="n">
        <v>5.3</v>
      </c>
    </row>
    <row r="4">
      <c r="A4" t="inlineStr">
        <is>
          <t>Spain</t>
        </is>
      </c>
      <c r="B4" t="n">
        <v>38</v>
      </c>
      <c r="C4" t="n">
        <v>97818</v>
      </c>
      <c r="D4" t="n">
        <v>12955</v>
      </c>
      <c r="E4" t="n">
        <v>13.24</v>
      </c>
    </row>
    <row r="5">
      <c r="A5" t="inlineStr">
        <is>
          <t>EIRE</t>
        </is>
      </c>
      <c r="B5" t="n">
        <v>3</v>
      </c>
      <c r="C5" t="n">
        <v>623796</v>
      </c>
      <c r="D5" t="n">
        <v>11050</v>
      </c>
      <c r="E5" t="n">
        <v>1.8</v>
      </c>
    </row>
    <row r="6">
      <c r="A6" t="inlineStr">
        <is>
          <t>Germany</t>
        </is>
      </c>
      <c r="B6" t="n">
        <v>107</v>
      </c>
      <c r="C6" t="n">
        <v>383848</v>
      </c>
      <c r="D6" t="n">
        <v>8596</v>
      </c>
      <c r="E6" t="n">
        <v>2.24</v>
      </c>
    </row>
    <row r="7">
      <c r="A7" t="inlineStr">
        <is>
          <t>Denmark</t>
        </is>
      </c>
      <c r="B7" t="n">
        <v>12</v>
      </c>
      <c r="C7" t="n">
        <v>67423</v>
      </c>
      <c r="D7" t="n">
        <v>4067</v>
      </c>
      <c r="E7" t="n">
        <v>6.03</v>
      </c>
    </row>
    <row r="8">
      <c r="A8" t="inlineStr">
        <is>
          <t>Netherlands</t>
        </is>
      </c>
      <c r="B8" t="n">
        <v>22</v>
      </c>
      <c r="C8" t="n">
        <v>549775</v>
      </c>
      <c r="D8" t="n">
        <v>3678</v>
      </c>
      <c r="E8" t="n">
        <v>0.67</v>
      </c>
    </row>
    <row r="9">
      <c r="A9" t="inlineStr">
        <is>
          <t>Sweden</t>
        </is>
      </c>
      <c r="B9" t="n">
        <v>19</v>
      </c>
      <c r="C9" t="n">
        <v>86353</v>
      </c>
      <c r="D9" t="n">
        <v>1736</v>
      </c>
      <c r="E9" t="n">
        <v>2.02</v>
      </c>
    </row>
    <row r="10">
      <c r="A10" t="inlineStr">
        <is>
          <t>Australia</t>
        </is>
      </c>
      <c r="B10" t="n">
        <v>15</v>
      </c>
      <c r="C10" t="n">
        <v>167868</v>
      </c>
      <c r="D10" t="n">
        <v>1216</v>
      </c>
      <c r="E10" t="n">
        <v>0.73</v>
      </c>
    </row>
    <row r="11">
      <c r="A11" t="inlineStr">
        <is>
          <t>Switzerland</t>
        </is>
      </c>
      <c r="B11" t="n">
        <v>22</v>
      </c>
      <c r="C11" t="n">
        <v>94047</v>
      </c>
      <c r="D11" t="n">
        <v>712</v>
      </c>
      <c r="E11" t="n">
        <v>0.76</v>
      </c>
    </row>
    <row r="12">
      <c r="A12" t="inlineStr">
        <is>
          <t>Belgium</t>
        </is>
      </c>
      <c r="B12" t="n">
        <v>29</v>
      </c>
      <c r="C12" t="n">
        <v>57013</v>
      </c>
      <c r="D12" t="n">
        <v>394</v>
      </c>
      <c r="E12" t="n">
        <v>0.6899999999999999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12" customWidth="1" min="4" max="4"/>
    <col width="12" customWidth="1" min="5" max="5"/>
    <col width="23" customWidth="1" min="6" max="6"/>
  </cols>
  <sheetData>
    <row r="1">
      <c r="A1" s="2" t="inlineStr">
        <is>
          <t>stock_code</t>
        </is>
      </c>
      <c r="B1" s="2" t="inlineStr">
        <is>
          <t>description</t>
        </is>
      </c>
      <c r="C1" s="2" t="inlineStr">
        <is>
          <t>other_cancelled_gbp</t>
        </is>
      </c>
      <c r="D1" s="2" t="inlineStr">
        <is>
          <t>sales_gbp</t>
        </is>
      </c>
      <c r="E1" s="2" t="inlineStr">
        <is>
          <t>rate_pct</t>
        </is>
      </c>
      <c r="F1" s="3" t="inlineStr">
        <is>
          <t>rate_pct (formula)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14418</v>
      </c>
      <c r="D2" t="n">
        <v>331084</v>
      </c>
      <c r="E2" t="n">
        <v>4.4</v>
      </c>
      <c r="F2">
        <f>ROUND(100*C2/D2,2)</f>
        <v/>
      </c>
    </row>
    <row r="3">
      <c r="A3" t="inlineStr">
        <is>
          <t>85123A</t>
        </is>
      </c>
      <c r="B3" t="inlineStr">
        <is>
          <t>WHITE HANGING HEART T-LIGHT HOLDER</t>
        </is>
      </c>
      <c r="C3" t="n">
        <v>7016</v>
      </c>
      <c r="D3" t="n">
        <v>258066</v>
      </c>
      <c r="E3" t="n">
        <v>2.7</v>
      </c>
      <c r="F3">
        <f>ROUND(100*C3/D3,2)</f>
        <v/>
      </c>
    </row>
    <row r="4">
      <c r="A4" t="inlineStr">
        <is>
          <t>21108</t>
        </is>
      </c>
      <c r="B4" t="inlineStr">
        <is>
          <t>FAIRY CAKE FLANNEL ASSORTED COLOUR</t>
        </is>
      </c>
      <c r="C4" t="n">
        <v>6577</v>
      </c>
      <c r="D4" t="n">
        <v>25436</v>
      </c>
      <c r="E4" t="n">
        <v>25.9</v>
      </c>
      <c r="F4">
        <f>ROUND(100*C4/D4,2)</f>
        <v/>
      </c>
    </row>
    <row r="5">
      <c r="A5" t="inlineStr">
        <is>
          <t>79323W</t>
        </is>
      </c>
      <c r="B5" t="inlineStr">
        <is>
          <t>WHITE CHERRY LIGHTS</t>
        </is>
      </c>
      <c r="C5" t="n">
        <v>6290</v>
      </c>
      <c r="D5" t="n">
        <v>18049</v>
      </c>
      <c r="E5" t="n">
        <v>34.9</v>
      </c>
      <c r="F5">
        <f>ROUND(100*C5/D5,2)</f>
        <v/>
      </c>
    </row>
    <row r="6">
      <c r="A6" t="inlineStr">
        <is>
          <t>48185</t>
        </is>
      </c>
      <c r="B6" t="inlineStr">
        <is>
          <t>DOORMAT FAIRY CAKE</t>
        </is>
      </c>
      <c r="C6" t="n">
        <v>4679</v>
      </c>
      <c r="D6" t="n">
        <v>45777</v>
      </c>
      <c r="E6" t="n">
        <v>10.2</v>
      </c>
      <c r="F6">
        <f>ROUND(100*C6/D6,2)</f>
        <v/>
      </c>
    </row>
    <row r="7">
      <c r="A7" t="inlineStr">
        <is>
          <t>47566B</t>
        </is>
      </c>
      <c r="B7" t="inlineStr">
        <is>
          <t>TEA TIME PARTY BUNTING</t>
        </is>
      </c>
      <c r="C7" t="n">
        <v>4275</v>
      </c>
      <c r="D7" t="n">
        <v>25837</v>
      </c>
      <c r="E7" t="n">
        <v>16.5</v>
      </c>
      <c r="F7">
        <f>ROUND(100*C7/D7,2)</f>
        <v/>
      </c>
    </row>
    <row r="8">
      <c r="A8" t="inlineStr">
        <is>
          <t>22138</t>
        </is>
      </c>
      <c r="B8" t="inlineStr">
        <is>
          <t xml:space="preserve">BAKING SET 9 PIECE RETROSPOT </t>
        </is>
      </c>
      <c r="C8" t="n">
        <v>3989</v>
      </c>
      <c r="D8" t="n">
        <v>45966</v>
      </c>
      <c r="E8" t="n">
        <v>8.699999999999999</v>
      </c>
      <c r="F8">
        <f>ROUND(100*C8/D8,2)</f>
        <v/>
      </c>
    </row>
    <row r="9">
      <c r="A9" t="inlineStr">
        <is>
          <t>79323P</t>
        </is>
      </c>
      <c r="B9" t="inlineStr">
        <is>
          <t>PINK CHERRY LIGHTS</t>
        </is>
      </c>
      <c r="C9" t="n">
        <v>3891</v>
      </c>
      <c r="D9" t="n">
        <v>13788</v>
      </c>
      <c r="E9" t="n">
        <v>28.2</v>
      </c>
      <c r="F9">
        <f>ROUND(100*C9/D9,2)</f>
        <v/>
      </c>
    </row>
    <row r="10">
      <c r="A10" t="inlineStr">
        <is>
          <t>21175</t>
        </is>
      </c>
      <c r="B10" t="inlineStr">
        <is>
          <t>GIN + TONIC DIET METAL SIGN</t>
        </is>
      </c>
      <c r="C10" t="n">
        <v>3755</v>
      </c>
      <c r="D10" t="n">
        <v>43956</v>
      </c>
      <c r="E10" t="n">
        <v>8.5</v>
      </c>
      <c r="F10">
        <f>ROUND(100*C10/D10,2)</f>
        <v/>
      </c>
    </row>
    <row r="11">
      <c r="A11" t="inlineStr">
        <is>
          <t>71477</t>
        </is>
      </c>
      <c r="B11" t="inlineStr">
        <is>
          <t>COLOURED GLASS STAR T-LIGHT HOLDER</t>
        </is>
      </c>
      <c r="C11" t="n">
        <v>3653</v>
      </c>
      <c r="D11" t="n">
        <v>44708</v>
      </c>
      <c r="E11" t="n">
        <v>8.199999999999999</v>
      </c>
      <c r="F11">
        <f>ROUND(100*C11/D11,2)</f>
        <v/>
      </c>
    </row>
    <row r="12">
      <c r="A12" t="inlineStr">
        <is>
          <t>85220</t>
        </is>
      </c>
      <c r="B12" t="inlineStr">
        <is>
          <t>SMALL FAIRY CAKE FRIDGE MAGNETS</t>
        </is>
      </c>
      <c r="C12" t="n">
        <v>3646</v>
      </c>
      <c r="D12" t="n">
        <v>6875</v>
      </c>
      <c r="E12" t="n">
        <v>53</v>
      </c>
      <c r="F12">
        <f>ROUND(100*C12/D12,2)</f>
        <v/>
      </c>
    </row>
    <row r="13">
      <c r="A13" t="inlineStr">
        <is>
          <t>21843</t>
        </is>
      </c>
      <c r="B13" t="inlineStr">
        <is>
          <t>RETRO SPOT CAKE STAND</t>
        </is>
      </c>
      <c r="C13" t="n">
        <v>3634</v>
      </c>
      <c r="D13" t="n">
        <v>65190</v>
      </c>
      <c r="E13" t="n">
        <v>5.6</v>
      </c>
      <c r="F13">
        <f>ROUND(100*C13/D13,2)</f>
        <v/>
      </c>
    </row>
    <row r="14">
      <c r="A14" t="inlineStr">
        <is>
          <t>22273</t>
        </is>
      </c>
      <c r="B14" t="inlineStr">
        <is>
          <t>FELTCRAFT DOLL MOLLY</t>
        </is>
      </c>
      <c r="C14" t="n">
        <v>3545</v>
      </c>
      <c r="D14" t="n">
        <v>20192</v>
      </c>
      <c r="E14" t="n">
        <v>17.6</v>
      </c>
      <c r="F14">
        <f>ROUND(100*C14/D14,2)</f>
        <v/>
      </c>
    </row>
    <row r="15">
      <c r="A15" t="inlineStr">
        <is>
          <t>20971</t>
        </is>
      </c>
      <c r="B15" t="inlineStr">
        <is>
          <t>PINK BLUE FELT CRAFT TRINKET BOX</t>
        </is>
      </c>
      <c r="C15" t="n">
        <v>2826</v>
      </c>
      <c r="D15" t="n">
        <v>28642</v>
      </c>
      <c r="E15" t="n">
        <v>9.9</v>
      </c>
      <c r="F15">
        <f>ROUND(100*C15/D15,2)</f>
        <v/>
      </c>
    </row>
    <row r="16">
      <c r="A16" t="inlineStr">
        <is>
          <t>22191</t>
        </is>
      </c>
      <c r="B16" t="inlineStr">
        <is>
          <t>IVORY DINER WALL CLOCK</t>
        </is>
      </c>
      <c r="C16" t="n">
        <v>2704</v>
      </c>
      <c r="D16" t="n">
        <v>16284</v>
      </c>
      <c r="E16" t="n">
        <v>16.6</v>
      </c>
      <c r="F16">
        <f>ROUND(100*C16/D16,2)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1" customWidth="1" min="4" max="4"/>
    <col width="12" customWidth="1" min="5" max="5"/>
    <col width="21" customWidth="1" min="6" max="6"/>
  </cols>
  <sheetData>
    <row r="1">
      <c r="A1" s="2" t="inlineStr">
        <is>
          <t>cancel_invoice_band</t>
        </is>
      </c>
      <c r="B1" s="2" t="inlineStr">
        <is>
          <t>customers</t>
        </is>
      </c>
      <c r="C1" s="2" t="inlineStr">
        <is>
          <t>spend_gbp</t>
        </is>
      </c>
      <c r="D1" s="2" t="inlineStr">
        <is>
          <t>other_cancelled_gbp</t>
        </is>
      </c>
      <c r="E1" s="2" t="inlineStr">
        <is>
          <t>rate_pct</t>
        </is>
      </c>
      <c r="F1" s="3" t="inlineStr">
        <is>
          <t>rate_pct (formula)</t>
        </is>
      </c>
    </row>
    <row r="2">
      <c r="A2" t="inlineStr">
        <is>
          <t>0</t>
        </is>
      </c>
      <c r="B2" t="n">
        <v>3521</v>
      </c>
      <c r="C2" t="n">
        <v>3896157</v>
      </c>
      <c r="D2" t="n">
        <v>0</v>
      </c>
      <c r="E2" t="n">
        <v>0</v>
      </c>
      <c r="F2">
        <f>ROUND(100*D2/C2,2)</f>
        <v/>
      </c>
    </row>
    <row r="3">
      <c r="A3" t="inlineStr">
        <is>
          <t>1</t>
        </is>
      </c>
      <c r="B3" t="n">
        <v>1060</v>
      </c>
      <c r="C3" t="n">
        <v>2724462</v>
      </c>
      <c r="D3" t="n">
        <v>74410</v>
      </c>
      <c r="E3" t="n">
        <v>2.73</v>
      </c>
      <c r="F3">
        <f>ROUND(100*D3/C3,2)</f>
        <v/>
      </c>
    </row>
    <row r="4">
      <c r="A4" t="inlineStr">
        <is>
          <t>2-4</t>
        </is>
      </c>
      <c r="B4" t="n">
        <v>916</v>
      </c>
      <c r="C4" t="n">
        <v>4506223</v>
      </c>
      <c r="D4" t="n">
        <v>119167</v>
      </c>
      <c r="E4" t="n">
        <v>2.64</v>
      </c>
      <c r="F4">
        <f>ROUND(100*D4/C4,2)</f>
        <v/>
      </c>
    </row>
    <row r="5">
      <c r="A5" t="inlineStr">
        <is>
          <t>5+</t>
        </is>
      </c>
      <c r="B5" t="n">
        <v>355</v>
      </c>
      <c r="C5" t="n">
        <v>5998085</v>
      </c>
      <c r="D5" t="n">
        <v>162027</v>
      </c>
      <c r="E5" t="n">
        <v>2.7</v>
      </c>
      <c r="F5">
        <f>ROUND(100*D5/C5,2)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2" t="inlineStr">
        <is>
          <t>fate</t>
        </is>
      </c>
      <c r="B1" s="2" t="inlineStr">
        <is>
          <t>raw_rows</t>
        </is>
      </c>
    </row>
    <row r="2">
      <c r="A2" t="inlineStr">
        <is>
          <t>1 duplicate (sheet overlap)</t>
        </is>
      </c>
      <c r="B2" t="n">
        <v>22523</v>
      </c>
    </row>
    <row r="3">
      <c r="A3" t="inlineStr">
        <is>
          <t>2 price &lt;= 0</t>
        </is>
      </c>
      <c r="B3" t="n">
        <v>6029</v>
      </c>
    </row>
    <row r="4">
      <c r="A4" t="inlineStr">
        <is>
          <t>3 non-product code</t>
        </is>
      </c>
      <c r="B4" t="n">
        <v>5901</v>
      </c>
    </row>
    <row r="5">
      <c r="A5" t="inlineStr">
        <is>
          <t>5 kept</t>
        </is>
      </c>
      <c r="B5" t="n">
        <v>1032918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2026-10-23T18:44:25Z</dcterms:created>
  <dcterms:modified xmlns:dcterms="http://purl.org/dc/terms/" xmlns:xsi="http://www.w3.org/2001/XMLSchema-instance" xsi:type="dcterms:W3CDTF">2026-10-23T18:44:25Z</dcterms:modified>
</cp:coreProperties>
</file>